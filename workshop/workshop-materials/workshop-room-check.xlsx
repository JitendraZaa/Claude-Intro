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oom Comparison" sheetId="1" state="visible" r:id="rId3"/>
    <sheet name="Registrations" sheetId="2" state="visible" r:id="rId4"/>
  </sheets>
  <definedNames>
    <definedName function="false" hidden="true" localSheetId="1" name="_xlnm._FilterDatabase" vbProcedure="false">Registrations!$A$1:$F$49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<sst xmlns="http://schemas.openxmlformats.org/spreadsheetml/2006/main" count="332" uniqueCount="167">
  <si>
    <t xml:space="preserve">Workshop room check: Build Your First AI Assistant (Sat 21 Nov 2026)</t>
  </si>
  <si>
    <t xml:space="preserve">Blue = inputs you can edit (yellow = key assumption). Everything else is a formula. Booking must be confirmed by 6 Nov.</t>
  </si>
  <si>
    <t xml:space="preserve">Inputs</t>
  </si>
  <si>
    <t xml:space="preserve">Lunch per person ($)</t>
  </si>
  <si>
    <t xml:space="preserve">From costs-sketch.txt</t>
  </si>
  <si>
    <t xml:space="preserve">Coffee and snacks, total ($)</t>
  </si>
  <si>
    <t xml:space="preserve">Printing: badges and handouts, total ($)</t>
  </si>
  <si>
    <t xml:space="preserve">Expected no-show rate</t>
  </si>
  <si>
    <t xml:space="preserve">Assumption: 0% by default. Try e.g. 10% to see the effect on the waitlist.</t>
  </si>
  <si>
    <t xml:space="preserve">Registrations (counted from Registrations tab)</t>
  </si>
  <si>
    <t xml:space="preserve">Expected attendees after no-shows</t>
  </si>
  <si>
    <t xml:space="preserve">Attendees needing a laptop</t>
  </si>
  <si>
    <t xml:space="preserve">Room</t>
  </si>
  <si>
    <t xml:space="preserve">Seats</t>
  </si>
  <si>
    <t xml:space="preserve">Room hire ($)</t>
  </si>
  <si>
    <t xml:space="preserve">Equipment</t>
  </si>
  <si>
    <t xml:space="preserve">Registrations</t>
  </si>
  <si>
    <t xml:space="preserve">Expected attendees</t>
  </si>
  <si>
    <t xml:space="preserve">Seated</t>
  </si>
  <si>
    <t xml:space="preserve">Waitlist</t>
  </si>
  <si>
    <t xml:space="preserve">Spare seats</t>
  </si>
  <si>
    <t xml:space="preserve">Lunch ($)</t>
  </si>
  <si>
    <t xml:space="preserve">Coffee + printing ($)</t>
  </si>
  <si>
    <t xml:space="preserve">Total cost ($)</t>
  </si>
  <si>
    <t xml:space="preserve">Cost per seated person ($)</t>
  </si>
  <si>
    <t xml:space="preserve">Fits?</t>
  </si>
  <si>
    <t xml:space="preserve">Room A</t>
  </si>
  <si>
    <t xml:space="preserve">Projector</t>
  </si>
  <si>
    <t xml:space="preserve">Room B</t>
  </si>
  <si>
    <t xml:space="preserve">Projector, whiteboard</t>
  </si>
  <si>
    <t xml:space="preserve">Notes</t>
  </si>
  <si>
    <t xml:space="preserve">• Room seats, hire cost and equipment are from room-notes.txt. Both rooms have wifi; doors open 9:00.</t>
  </si>
  <si>
    <t xml:space="preserve">• Seated = the smaller of seats and expected attendees. Waitlist = expected attendees beyond the seat count.</t>
  </si>
  <si>
    <t xml:space="preserve">• Cost per seated person = (room hire + lunch for everyone seated + coffee + printing) / seated. Speakers are not counted.</t>
  </si>
  <si>
    <t xml:space="preserve">• Ticket idea from costs-sketch.txt: free or $10. Compare against the cost-per-person column.</t>
  </si>
  <si>
    <t xml:space="preserve">• Laptops: neither room lists laptops, so the laptop count above needs arranging separately.</t>
  </si>
  <si>
    <t xml:space="preserve">first_name</t>
  </si>
  <si>
    <t xml:space="preserve">last_name</t>
  </si>
  <si>
    <t xml:space="preserve">email</t>
  </si>
  <si>
    <t xml:space="preserve">role</t>
  </si>
  <si>
    <t xml:space="preserve">registered_on</t>
  </si>
  <si>
    <t xml:space="preserve">needs_laptop</t>
  </si>
  <si>
    <t xml:space="preserve">Parker</t>
  </si>
  <si>
    <t xml:space="preserve">Knight</t>
  </si>
  <si>
    <t xml:space="preserve">parker.knight@example.com</t>
  </si>
  <si>
    <t xml:space="preserve">Student</t>
  </si>
  <si>
    <t xml:space="preserve">2026-10-17</t>
  </si>
  <si>
    <t xml:space="preserve">Yes</t>
  </si>
  <si>
    <t xml:space="preserve">Quinn</t>
  </si>
  <si>
    <t xml:space="preserve">Porter</t>
  </si>
  <si>
    <t xml:space="preserve">quinn.porter@example.com</t>
  </si>
  <si>
    <t xml:space="preserve">Manager</t>
  </si>
  <si>
    <t xml:space="preserve">2026-10-21</t>
  </si>
  <si>
    <t xml:space="preserve">Robin</t>
  </si>
  <si>
    <t xml:space="preserve">Lane</t>
  </si>
  <si>
    <t xml:space="preserve">robin.lane@example.com</t>
  </si>
  <si>
    <t xml:space="preserve">Admin</t>
  </si>
  <si>
    <t xml:space="preserve">2026-10-24</t>
  </si>
  <si>
    <t xml:space="preserve">Skyler</t>
  </si>
  <si>
    <t xml:space="preserve">Wade</t>
  </si>
  <si>
    <t xml:space="preserve">skyler.wade@example.com</t>
  </si>
  <si>
    <t xml:space="preserve">2026-10-05</t>
  </si>
  <si>
    <t xml:space="preserve">Sage</t>
  </si>
  <si>
    <t xml:space="preserve">Stone</t>
  </si>
  <si>
    <t xml:space="preserve">sage.stone@example.com</t>
  </si>
  <si>
    <t xml:space="preserve">2026-10-15</t>
  </si>
  <si>
    <t xml:space="preserve">Price</t>
  </si>
  <si>
    <t xml:space="preserve">sage.price@example.com</t>
  </si>
  <si>
    <t xml:space="preserve">Designer</t>
  </si>
  <si>
    <t xml:space="preserve">2026-10-04</t>
  </si>
  <si>
    <t xml:space="preserve">No</t>
  </si>
  <si>
    <t xml:space="preserve">Morgan</t>
  </si>
  <si>
    <t xml:space="preserve">Gray</t>
  </si>
  <si>
    <t xml:space="preserve">morgan.gray@example.com</t>
  </si>
  <si>
    <t xml:space="preserve">Developer</t>
  </si>
  <si>
    <t xml:space="preserve">2026-10-22</t>
  </si>
  <si>
    <t xml:space="preserve">Sam</t>
  </si>
  <si>
    <t xml:space="preserve">sam.price@example.com</t>
  </si>
  <si>
    <t xml:space="preserve">Teacher</t>
  </si>
  <si>
    <t xml:space="preserve">Finley</t>
  </si>
  <si>
    <t xml:space="preserve">Foster</t>
  </si>
  <si>
    <t xml:space="preserve">finley.foster@example.com</t>
  </si>
  <si>
    <t xml:space="preserve">Analyst</t>
  </si>
  <si>
    <t xml:space="preserve">2026-10-10</t>
  </si>
  <si>
    <t xml:space="preserve">Elliot</t>
  </si>
  <si>
    <t xml:space="preserve">elliot.morgan@example.com</t>
  </si>
  <si>
    <t xml:space="preserve">Reese</t>
  </si>
  <si>
    <t xml:space="preserve">Shaw</t>
  </si>
  <si>
    <t xml:space="preserve">reese.shaw@example.com</t>
  </si>
  <si>
    <t xml:space="preserve">Rowan</t>
  </si>
  <si>
    <t xml:space="preserve">Ellis</t>
  </si>
  <si>
    <t xml:space="preserve">rowan.ellis@example.com</t>
  </si>
  <si>
    <t xml:space="preserve">2026-10-20</t>
  </si>
  <si>
    <t xml:space="preserve">Marsh</t>
  </si>
  <si>
    <t xml:space="preserve">parker.marsh@example.com</t>
  </si>
  <si>
    <t xml:space="preserve">Jamie</t>
  </si>
  <si>
    <t xml:space="preserve">Cole</t>
  </si>
  <si>
    <t xml:space="preserve">jamie.cole@example.com</t>
  </si>
  <si>
    <t xml:space="preserve">Blake</t>
  </si>
  <si>
    <t xml:space="preserve">blake.price@example.com</t>
  </si>
  <si>
    <t xml:space="preserve">Emerson</t>
  </si>
  <si>
    <t xml:space="preserve">emerson.knight@example.com</t>
  </si>
  <si>
    <t xml:space="preserve">2026-10-26</t>
  </si>
  <si>
    <t xml:space="preserve">sam.foster@example.com</t>
  </si>
  <si>
    <t xml:space="preserve">Consultant</t>
  </si>
  <si>
    <t xml:space="preserve">finley.cole@example.com</t>
  </si>
  <si>
    <t xml:space="preserve">Carter</t>
  </si>
  <si>
    <t xml:space="preserve">rowan.carter@example.com</t>
  </si>
  <si>
    <t xml:space="preserve">2026-10-14</t>
  </si>
  <si>
    <t xml:space="preserve">finley.ellis@example.com</t>
  </si>
  <si>
    <t xml:space="preserve">2026-10-06</t>
  </si>
  <si>
    <t xml:space="preserve">Avery</t>
  </si>
  <si>
    <t xml:space="preserve">avery.porter@example.com</t>
  </si>
  <si>
    <t xml:space="preserve">2026-10-03</t>
  </si>
  <si>
    <t xml:space="preserve">Casey</t>
  </si>
  <si>
    <t xml:space="preserve">Grant</t>
  </si>
  <si>
    <t xml:space="preserve">casey.grant@example.com</t>
  </si>
  <si>
    <t xml:space="preserve">2026-10-02</t>
  </si>
  <si>
    <t xml:space="preserve">sam.gray@example.com</t>
  </si>
  <si>
    <t xml:space="preserve">2026-10-08</t>
  </si>
  <si>
    <t xml:space="preserve">Dana</t>
  </si>
  <si>
    <t xml:space="preserve">dana.shaw@example.com</t>
  </si>
  <si>
    <t xml:space="preserve">2026-10-16</t>
  </si>
  <si>
    <t xml:space="preserve">skyler.grant@example.com</t>
  </si>
  <si>
    <t xml:space="preserve">Nash</t>
  </si>
  <si>
    <t xml:space="preserve">casey.nash@example.com</t>
  </si>
  <si>
    <t xml:space="preserve">2026-10-28</t>
  </si>
  <si>
    <t xml:space="preserve">Alex</t>
  </si>
  <si>
    <t xml:space="preserve">alex.morgan@example.com</t>
  </si>
  <si>
    <t xml:space="preserve">2026-10-12</t>
  </si>
  <si>
    <t xml:space="preserve">Drew</t>
  </si>
  <si>
    <t xml:space="preserve">drew.gray@example.com</t>
  </si>
  <si>
    <t xml:space="preserve">Fisher</t>
  </si>
  <si>
    <t xml:space="preserve">rowan.fisher@example.com</t>
  </si>
  <si>
    <t xml:space="preserve">2026-10-09</t>
  </si>
  <si>
    <t xml:space="preserve">Brooks</t>
  </si>
  <si>
    <t xml:space="preserve">rowan.brooks@example.com</t>
  </si>
  <si>
    <t xml:space="preserve">2026-10-19</t>
  </si>
  <si>
    <t xml:space="preserve">Bennett</t>
  </si>
  <si>
    <t xml:space="preserve">finley.bennett@example.com</t>
  </si>
  <si>
    <t xml:space="preserve">alex.lane@example.com</t>
  </si>
  <si>
    <t xml:space="preserve">rowan.knight@example.com</t>
  </si>
  <si>
    <t xml:space="preserve">2026-10-01</t>
  </si>
  <si>
    <t xml:space="preserve">Riley</t>
  </si>
  <si>
    <t xml:space="preserve">riley.price@example.com</t>
  </si>
  <si>
    <t xml:space="preserve">sam.porter@example.com</t>
  </si>
  <si>
    <t xml:space="preserve">alex.fisher@example.com</t>
  </si>
  <si>
    <t xml:space="preserve">reese.lane@example.com</t>
  </si>
  <si>
    <t xml:space="preserve">Cameron</t>
  </si>
  <si>
    <t xml:space="preserve">cameron.price@example.com</t>
  </si>
  <si>
    <t xml:space="preserve">2026-10-18</t>
  </si>
  <si>
    <t xml:space="preserve">alex.ellis@example.com</t>
  </si>
  <si>
    <t xml:space="preserve">cameron.shaw@example.com</t>
  </si>
  <si>
    <t xml:space="preserve">alex.nash@example.com</t>
  </si>
  <si>
    <t xml:space="preserve">Hughes</t>
  </si>
  <si>
    <t xml:space="preserve">riley.hughes@example.com</t>
  </si>
  <si>
    <t xml:space="preserve">2026-10-11</t>
  </si>
  <si>
    <t xml:space="preserve">sage.bennett@example.com</t>
  </si>
  <si>
    <t xml:space="preserve">2026-10-25</t>
  </si>
  <si>
    <t xml:space="preserve">Hart</t>
  </si>
  <si>
    <t xml:space="preserve">sage.hart@example.com</t>
  </si>
  <si>
    <t xml:space="preserve">jamie.shaw@example.com</t>
  </si>
  <si>
    <t xml:space="preserve">Jordan</t>
  </si>
  <si>
    <t xml:space="preserve">jordan.morgan@example.com</t>
  </si>
  <si>
    <t xml:space="preserve">Wells</t>
  </si>
  <si>
    <t xml:space="preserve">reese.wells@example.com</t>
  </si>
  <si>
    <t xml:space="preserve">jamie.knight@example.com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</si>
</sst>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;&quot;($&quot;#,##0\);\-"/>
    <numFmt numFmtId="166" formatCode="0%"/>
    <numFmt numFmtId="167" formatCode="General"/>
    <numFmt numFmtId="168" formatCode="\$#,##0.00;&quot;($&quot;#,##0.00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color rgb="FF777777"/>
      <name val="Arial"/>
      <family val="0"/>
      <charset val="1"/>
    </font>
    <font>
      <sz val="11"/>
      <color rgb="FF008000"/>
      <name val="Arial"/>
      <family val="0"/>
      <charset val="1"/>
    </font>
    <font>
      <sz val="11"/>
      <color rgb="FF444444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DE4EE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DDE4EE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777777"/>
      <rgbColor rgb="FF9999FF"/>
      <rgbColor rgb="FF993366"/>
      <rgbColor rgb="FFFFFFCC"/>
      <rgbColor rgb="FFCCFFFF"/>
      <rgbColor rgb="FF660066"/>
      <rgbColor rgb="FFFF8080"/>
      <rgbColor rgb="FF0066CC"/>
      <rgbColor rgb="FFDDE4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9"/>
    <col collapsed="false" customWidth="true" hidden="false" outlineLevel="0" max="3" min="3" style="0" width="12"/>
    <col collapsed="false" customWidth="true" hidden="false" outlineLevel="0" max="4" min="4" style="0" width="20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9"/>
    <col collapsed="false" customWidth="true" hidden="false" outlineLevel="0" max="8" min="8" style="0" width="10"/>
    <col collapsed="false" customWidth="true" hidden="false" outlineLevel="0" max="9" min="9" style="0" width="9"/>
    <col collapsed="false" customWidth="true" hidden="false" outlineLevel="0" max="10" min="10" style="0" width="10"/>
    <col collapsed="false" customWidth="true" hidden="false" outlineLevel="0" max="11" min="11" style="0" width="13"/>
    <col collapsed="false" customWidth="true" hidden="false" outlineLevel="0" max="12" min="12" style="0" width="12"/>
    <col collapsed="false" customWidth="true" hidden="false" outlineLevel="0" max="14" min="13" style="0" width="14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v>14</v>
      </c>
      <c r="C5" s="6" t="s">
        <v>4</v>
      </c>
    </row>
    <row r="6" customFormat="false" ht="15" hidden="false" customHeight="false" outlineLevel="0" collapsed="false">
      <c r="A6" s="4" t="s">
        <v>5</v>
      </c>
      <c r="B6" s="5" t="n">
        <v>120</v>
      </c>
      <c r="C6" s="6" t="s">
        <v>4</v>
      </c>
    </row>
    <row r="7" customFormat="false" ht="15" hidden="false" customHeight="false" outlineLevel="0" collapsed="false">
      <c r="A7" s="4" t="s">
        <v>6</v>
      </c>
      <c r="B7" s="5" t="n">
        <v>60</v>
      </c>
      <c r="C7" s="6" t="s">
        <v>4</v>
      </c>
    </row>
    <row r="8" customFormat="false" ht="15" hidden="false" customHeight="false" outlineLevel="0" collapsed="false">
      <c r="A8" s="4" t="s">
        <v>7</v>
      </c>
      <c r="B8" s="7" t="n">
        <v>0</v>
      </c>
      <c r="C8" s="6" t="s">
        <v>8</v>
      </c>
    </row>
    <row r="9" customFormat="false" ht="15" hidden="false" customHeight="false" outlineLevel="0" collapsed="false">
      <c r="A9" s="4" t="s">
        <v>9</v>
      </c>
      <c r="B9" s="8" t="n">
        <f aca="false">COUNTA(Registrations!A2:A1000)</f>
        <v>48</v>
      </c>
    </row>
    <row r="10" customFormat="false" ht="15" hidden="false" customHeight="false" outlineLevel="0" collapsed="false">
      <c r="A10" s="4" t="s">
        <v>10</v>
      </c>
      <c r="B10" s="4" t="n">
        <f aca="false">ROUND(B9*(1-B8),0)</f>
        <v>48</v>
      </c>
    </row>
    <row r="11" customFormat="false" ht="15" hidden="false" customHeight="false" outlineLevel="0" collapsed="false">
      <c r="A11" s="4" t="s">
        <v>11</v>
      </c>
      <c r="B11" s="8" t="n">
        <f aca="false">COUNTIF(Registrations!F2:F1000,"Yes")</f>
        <v>27</v>
      </c>
    </row>
    <row r="13" customFormat="false" ht="45" hidden="false" customHeight="true" outlineLevel="0" collapsed="false">
      <c r="A13" s="9" t="s">
        <v>12</v>
      </c>
      <c r="B13" s="9" t="s">
        <v>13</v>
      </c>
      <c r="C13" s="9" t="s">
        <v>14</v>
      </c>
      <c r="D13" s="9" t="s">
        <v>15</v>
      </c>
      <c r="E13" s="9" t="s">
        <v>16</v>
      </c>
      <c r="F13" s="9" t="s">
        <v>17</v>
      </c>
      <c r="G13" s="9" t="s">
        <v>18</v>
      </c>
      <c r="H13" s="9" t="s">
        <v>19</v>
      </c>
      <c r="I13" s="9" t="s">
        <v>20</v>
      </c>
      <c r="J13" s="9" t="s">
        <v>21</v>
      </c>
      <c r="K13" s="9" t="s">
        <v>22</v>
      </c>
      <c r="L13" s="9" t="s">
        <v>23</v>
      </c>
      <c r="M13" s="9" t="s">
        <v>24</v>
      </c>
      <c r="N13" s="9" t="s">
        <v>25</v>
      </c>
    </row>
    <row r="14" customFormat="false" ht="15" hidden="false" customHeight="false" outlineLevel="0" collapsed="false">
      <c r="A14" s="10" t="s">
        <v>26</v>
      </c>
      <c r="B14" s="11" t="n">
        <v>40</v>
      </c>
      <c r="C14" s="12" t="n">
        <v>300</v>
      </c>
      <c r="D14" s="10" t="s">
        <v>27</v>
      </c>
      <c r="E14" s="10" t="n">
        <f aca="false">$B$9</f>
        <v>48</v>
      </c>
      <c r="F14" s="10" t="n">
        <f aca="false">$B$10</f>
        <v>48</v>
      </c>
      <c r="G14" s="10" t="n">
        <f aca="false">MIN(B14,F14)</f>
        <v>40</v>
      </c>
      <c r="H14" s="10" t="n">
        <f aca="false">MAX(0,F14-B14)</f>
        <v>8</v>
      </c>
      <c r="I14" s="10" t="n">
        <f aca="false">MAX(0,B14-F14)</f>
        <v>0</v>
      </c>
      <c r="J14" s="13" t="n">
        <f aca="false">G14*$B$5</f>
        <v>560</v>
      </c>
      <c r="K14" s="13" t="n">
        <f aca="false">$B$6+$B$7</f>
        <v>180</v>
      </c>
      <c r="L14" s="13" t="n">
        <f aca="false">C14+J14+K14</f>
        <v>1040</v>
      </c>
      <c r="M14" s="14" t="n">
        <f aca="false">IF(G14=0,0,L14/G14)</f>
        <v>26</v>
      </c>
      <c r="N14" s="10" t="str">
        <f aca="false">IF(H14=0,"Yes","No, "&amp;H14&amp;" over")</f>
        <v>No, 8 over</v>
      </c>
    </row>
    <row r="15" customFormat="false" ht="15" hidden="false" customHeight="false" outlineLevel="0" collapsed="false">
      <c r="A15" s="10" t="s">
        <v>28</v>
      </c>
      <c r="B15" s="11" t="n">
        <v>45</v>
      </c>
      <c r="C15" s="12" t="n">
        <v>380</v>
      </c>
      <c r="D15" s="10" t="s">
        <v>29</v>
      </c>
      <c r="E15" s="10" t="n">
        <f aca="false">$B$9</f>
        <v>48</v>
      </c>
      <c r="F15" s="10" t="n">
        <f aca="false">$B$10</f>
        <v>48</v>
      </c>
      <c r="G15" s="10" t="n">
        <f aca="false">MIN(B15,F15)</f>
        <v>45</v>
      </c>
      <c r="H15" s="10" t="n">
        <f aca="false">MAX(0,F15-B15)</f>
        <v>3</v>
      </c>
      <c r="I15" s="10" t="n">
        <f aca="false">MAX(0,B15-F15)</f>
        <v>0</v>
      </c>
      <c r="J15" s="13" t="n">
        <f aca="false">G15*$B$5</f>
        <v>630</v>
      </c>
      <c r="K15" s="13" t="n">
        <f aca="false">$B$6+$B$7</f>
        <v>180</v>
      </c>
      <c r="L15" s="13" t="n">
        <f aca="false">C15+J15+K15</f>
        <v>1190</v>
      </c>
      <c r="M15" s="14" t="n">
        <f aca="false">IF(G15=0,0,L15/G15)</f>
        <v>26.4444444444444</v>
      </c>
      <c r="N15" s="10" t="str">
        <f aca="false">IF(H15=0,"Yes","No, "&amp;H15&amp;" over")</f>
        <v>No, 3 over</v>
      </c>
    </row>
    <row r="16" customFormat="false" ht="15" hidden="false" customHeight="false" outlineLevel="0" collapsed="false">
      <c r="A16" s="3" t="s">
        <v>30</v>
      </c>
    </row>
    <row r="17" customFormat="false" ht="15" hidden="false" customHeight="false" outlineLevel="0" collapsed="false">
      <c r="A17" s="15" t="s">
        <v>31</v>
      </c>
    </row>
    <row r="18" customFormat="false" ht="15" hidden="false" customHeight="false" outlineLevel="0" collapsed="false">
      <c r="A18" s="15" t="s">
        <v>32</v>
      </c>
    </row>
    <row r="19" customFormat="false" ht="15" hidden="false" customHeight="false" outlineLevel="0" collapsed="false">
      <c r="A19" s="15" t="s">
        <v>33</v>
      </c>
    </row>
    <row r="20" customFormat="false" ht="15" hidden="false" customHeight="false" outlineLevel="0" collapsed="false">
      <c r="A20" s="15" t="s">
        <v>34</v>
      </c>
    </row>
    <row r="21" customFormat="false" ht="15" hidden="false" customHeight="false" outlineLevel="0" collapsed="false">
      <c r="A21" s="15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30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3"/>
  </cols>
  <sheetData>
    <row r="1" customFormat="false" ht="15" hidden="false" customHeight="false" outlineLevel="0" collapsed="false">
      <c r="A1" s="16" t="s">
        <v>36</v>
      </c>
      <c r="B1" s="16" t="s">
        <v>37</v>
      </c>
      <c r="C1" s="16" t="s">
        <v>38</v>
      </c>
      <c r="D1" s="16" t="s">
        <v>39</v>
      </c>
      <c r="E1" s="16" t="s">
        <v>40</v>
      </c>
      <c r="F1" s="16" t="s">
        <v>41</v>
      </c>
    </row>
    <row r="2" customFormat="false" ht="15" hidden="false" customHeight="false" outlineLevel="0" collapsed="false">
      <c r="A2" s="4" t="s">
        <v>42</v>
      </c>
      <c r="B2" s="4" t="s">
        <v>43</v>
      </c>
      <c r="C2" s="4" t="s">
        <v>44</v>
      </c>
      <c r="D2" s="4" t="s">
        <v>45</v>
      </c>
      <c r="E2" s="4" t="s">
        <v>46</v>
      </c>
      <c r="F2" s="4" t="s">
        <v>47</v>
      </c>
    </row>
    <row r="3" customFormat="false" ht="15" hidden="false" customHeight="false" outlineLevel="0" collapsed="false">
      <c r="A3" s="4" t="s">
        <v>48</v>
      </c>
      <c r="B3" s="4" t="s">
        <v>49</v>
      </c>
      <c r="C3" s="4" t="s">
        <v>50</v>
      </c>
      <c r="D3" s="4" t="s">
        <v>51</v>
      </c>
      <c r="E3" s="4" t="s">
        <v>52</v>
      </c>
      <c r="F3" s="4" t="s">
        <v>47</v>
      </c>
    </row>
    <row r="4" customFormat="false" ht="15" hidden="false" customHeight="false" outlineLevel="0" collapsed="false">
      <c r="A4" s="4" t="s">
        <v>53</v>
      </c>
      <c r="B4" s="4" t="s">
        <v>54</v>
      </c>
      <c r="C4" s="4" t="s">
        <v>55</v>
      </c>
      <c r="D4" s="4" t="s">
        <v>56</v>
      </c>
      <c r="E4" s="4" t="s">
        <v>57</v>
      </c>
      <c r="F4" s="4" t="s">
        <v>47</v>
      </c>
    </row>
    <row r="5" customFormat="false" ht="15" hidden="false" customHeight="false" outlineLevel="0" collapsed="false">
      <c r="A5" s="4" t="s">
        <v>58</v>
      </c>
      <c r="B5" s="4" t="s">
        <v>59</v>
      </c>
      <c r="C5" s="4" t="s">
        <v>60</v>
      </c>
      <c r="D5" s="4" t="s">
        <v>45</v>
      </c>
      <c r="E5" s="4" t="s">
        <v>61</v>
      </c>
      <c r="F5" s="4" t="s">
        <v>47</v>
      </c>
    </row>
    <row r="6" customFormat="false" ht="15" hidden="false" customHeight="false" outlineLevel="0" collapsed="false">
      <c r="A6" s="4" t="s">
        <v>62</v>
      </c>
      <c r="B6" s="4" t="s">
        <v>63</v>
      </c>
      <c r="C6" s="4" t="s">
        <v>64</v>
      </c>
      <c r="D6" s="4" t="s">
        <v>45</v>
      </c>
      <c r="E6" s="4" t="s">
        <v>65</v>
      </c>
      <c r="F6" s="4" t="s">
        <v>47</v>
      </c>
    </row>
    <row r="7" customFormat="false" ht="15" hidden="false" customHeight="false" outlineLevel="0" collapsed="false">
      <c r="A7" s="4" t="s">
        <v>62</v>
      </c>
      <c r="B7" s="4" t="s">
        <v>66</v>
      </c>
      <c r="C7" s="4" t="s">
        <v>67</v>
      </c>
      <c r="D7" s="4" t="s">
        <v>68</v>
      </c>
      <c r="E7" s="4" t="s">
        <v>69</v>
      </c>
      <c r="F7" s="4" t="s">
        <v>70</v>
      </c>
    </row>
    <row r="8" customFormat="false" ht="15" hidden="false" customHeight="false" outlineLevel="0" collapsed="false">
      <c r="A8" s="4" t="s">
        <v>71</v>
      </c>
      <c r="B8" s="4" t="s">
        <v>72</v>
      </c>
      <c r="C8" s="4" t="s">
        <v>73</v>
      </c>
      <c r="D8" s="4" t="s">
        <v>74</v>
      </c>
      <c r="E8" s="4" t="s">
        <v>75</v>
      </c>
      <c r="F8" s="4" t="s">
        <v>70</v>
      </c>
    </row>
    <row r="9" customFormat="false" ht="15" hidden="false" customHeight="false" outlineLevel="0" collapsed="false">
      <c r="A9" s="4" t="s">
        <v>76</v>
      </c>
      <c r="B9" s="4" t="s">
        <v>66</v>
      </c>
      <c r="C9" s="4" t="s">
        <v>77</v>
      </c>
      <c r="D9" s="4" t="s">
        <v>78</v>
      </c>
      <c r="E9" s="4" t="s">
        <v>57</v>
      </c>
      <c r="F9" s="4" t="s">
        <v>47</v>
      </c>
    </row>
    <row r="10" customFormat="false" ht="15" hidden="false" customHeight="false" outlineLevel="0" collapsed="false">
      <c r="A10" s="4" t="s">
        <v>79</v>
      </c>
      <c r="B10" s="4" t="s">
        <v>80</v>
      </c>
      <c r="C10" s="4" t="s">
        <v>81</v>
      </c>
      <c r="D10" s="4" t="s">
        <v>82</v>
      </c>
      <c r="E10" s="4" t="s">
        <v>83</v>
      </c>
      <c r="F10" s="4" t="s">
        <v>70</v>
      </c>
    </row>
    <row r="11" customFormat="false" ht="15" hidden="false" customHeight="false" outlineLevel="0" collapsed="false">
      <c r="A11" s="4" t="s">
        <v>84</v>
      </c>
      <c r="B11" s="4" t="s">
        <v>71</v>
      </c>
      <c r="C11" s="4" t="s">
        <v>85</v>
      </c>
      <c r="D11" s="4" t="s">
        <v>82</v>
      </c>
      <c r="E11" s="4" t="s">
        <v>65</v>
      </c>
      <c r="F11" s="4" t="s">
        <v>47</v>
      </c>
    </row>
    <row r="12" customFormat="false" ht="15" hidden="false" customHeight="false" outlineLevel="0" collapsed="false">
      <c r="A12" s="4" t="s">
        <v>86</v>
      </c>
      <c r="B12" s="4" t="s">
        <v>87</v>
      </c>
      <c r="C12" s="4" t="s">
        <v>88</v>
      </c>
      <c r="D12" s="4" t="s">
        <v>74</v>
      </c>
      <c r="E12" s="4" t="s">
        <v>46</v>
      </c>
      <c r="F12" s="4" t="s">
        <v>47</v>
      </c>
    </row>
    <row r="13" customFormat="false" ht="15" hidden="false" customHeight="false" outlineLevel="0" collapsed="false">
      <c r="A13" s="4" t="s">
        <v>89</v>
      </c>
      <c r="B13" s="4" t="s">
        <v>90</v>
      </c>
      <c r="C13" s="4" t="s">
        <v>91</v>
      </c>
      <c r="D13" s="4" t="s">
        <v>45</v>
      </c>
      <c r="E13" s="4" t="s">
        <v>92</v>
      </c>
      <c r="F13" s="4" t="s">
        <v>47</v>
      </c>
    </row>
    <row r="14" customFormat="false" ht="15" hidden="false" customHeight="false" outlineLevel="0" collapsed="false">
      <c r="A14" s="4" t="s">
        <v>42</v>
      </c>
      <c r="B14" s="4" t="s">
        <v>93</v>
      </c>
      <c r="C14" s="4" t="s">
        <v>94</v>
      </c>
      <c r="D14" s="4" t="s">
        <v>74</v>
      </c>
      <c r="E14" s="4" t="s">
        <v>83</v>
      </c>
      <c r="F14" s="4" t="s">
        <v>47</v>
      </c>
    </row>
    <row r="15" customFormat="false" ht="15" hidden="false" customHeight="false" outlineLevel="0" collapsed="false">
      <c r="A15" s="4" t="s">
        <v>95</v>
      </c>
      <c r="B15" s="4" t="s">
        <v>96</v>
      </c>
      <c r="C15" s="4" t="s">
        <v>97</v>
      </c>
      <c r="D15" s="4" t="s">
        <v>74</v>
      </c>
      <c r="E15" s="4" t="s">
        <v>65</v>
      </c>
      <c r="F15" s="4" t="s">
        <v>70</v>
      </c>
    </row>
    <row r="16" customFormat="false" ht="15" hidden="false" customHeight="false" outlineLevel="0" collapsed="false">
      <c r="A16" s="4" t="s">
        <v>98</v>
      </c>
      <c r="B16" s="4" t="s">
        <v>66</v>
      </c>
      <c r="C16" s="4" t="s">
        <v>99</v>
      </c>
      <c r="D16" s="4" t="s">
        <v>56</v>
      </c>
      <c r="E16" s="4" t="s">
        <v>92</v>
      </c>
      <c r="F16" s="4" t="s">
        <v>70</v>
      </c>
    </row>
    <row r="17" customFormat="false" ht="15" hidden="false" customHeight="false" outlineLevel="0" collapsed="false">
      <c r="A17" s="4" t="s">
        <v>100</v>
      </c>
      <c r="B17" s="4" t="s">
        <v>43</v>
      </c>
      <c r="C17" s="4" t="s">
        <v>101</v>
      </c>
      <c r="D17" s="4" t="s">
        <v>51</v>
      </c>
      <c r="E17" s="4" t="s">
        <v>102</v>
      </c>
      <c r="F17" s="4" t="s">
        <v>47</v>
      </c>
    </row>
    <row r="18" customFormat="false" ht="15" hidden="false" customHeight="false" outlineLevel="0" collapsed="false">
      <c r="A18" s="4" t="s">
        <v>76</v>
      </c>
      <c r="B18" s="4" t="s">
        <v>80</v>
      </c>
      <c r="C18" s="4" t="s">
        <v>103</v>
      </c>
      <c r="D18" s="4" t="s">
        <v>104</v>
      </c>
      <c r="E18" s="4" t="s">
        <v>92</v>
      </c>
      <c r="F18" s="4" t="s">
        <v>47</v>
      </c>
    </row>
    <row r="19" customFormat="false" ht="15" hidden="false" customHeight="false" outlineLevel="0" collapsed="false">
      <c r="A19" s="4" t="s">
        <v>79</v>
      </c>
      <c r="B19" s="4" t="s">
        <v>96</v>
      </c>
      <c r="C19" s="4" t="s">
        <v>105</v>
      </c>
      <c r="D19" s="4" t="s">
        <v>104</v>
      </c>
      <c r="E19" s="4" t="s">
        <v>69</v>
      </c>
      <c r="F19" s="4" t="s">
        <v>47</v>
      </c>
    </row>
    <row r="20" customFormat="false" ht="15" hidden="false" customHeight="false" outlineLevel="0" collapsed="false">
      <c r="A20" s="4" t="s">
        <v>89</v>
      </c>
      <c r="B20" s="4" t="s">
        <v>106</v>
      </c>
      <c r="C20" s="4" t="s">
        <v>107</v>
      </c>
      <c r="D20" s="4" t="s">
        <v>56</v>
      </c>
      <c r="E20" s="4" t="s">
        <v>108</v>
      </c>
      <c r="F20" s="4" t="s">
        <v>47</v>
      </c>
    </row>
    <row r="21" customFormat="false" ht="15" hidden="false" customHeight="false" outlineLevel="0" collapsed="false">
      <c r="A21" s="4" t="s">
        <v>79</v>
      </c>
      <c r="B21" s="4" t="s">
        <v>90</v>
      </c>
      <c r="C21" s="4" t="s">
        <v>109</v>
      </c>
      <c r="D21" s="4" t="s">
        <v>82</v>
      </c>
      <c r="E21" s="4" t="s">
        <v>110</v>
      </c>
      <c r="F21" s="4" t="s">
        <v>70</v>
      </c>
    </row>
    <row r="22" customFormat="false" ht="15" hidden="false" customHeight="false" outlineLevel="0" collapsed="false">
      <c r="A22" s="4" t="s">
        <v>111</v>
      </c>
      <c r="B22" s="4" t="s">
        <v>49</v>
      </c>
      <c r="C22" s="4" t="s">
        <v>112</v>
      </c>
      <c r="D22" s="4" t="s">
        <v>82</v>
      </c>
      <c r="E22" s="4" t="s">
        <v>113</v>
      </c>
      <c r="F22" s="4" t="s">
        <v>70</v>
      </c>
    </row>
    <row r="23" customFormat="false" ht="15" hidden="false" customHeight="false" outlineLevel="0" collapsed="false">
      <c r="A23" s="4" t="s">
        <v>114</v>
      </c>
      <c r="B23" s="4" t="s">
        <v>115</v>
      </c>
      <c r="C23" s="4" t="s">
        <v>116</v>
      </c>
      <c r="D23" s="4" t="s">
        <v>51</v>
      </c>
      <c r="E23" s="4" t="s">
        <v>117</v>
      </c>
      <c r="F23" s="4" t="s">
        <v>47</v>
      </c>
    </row>
    <row r="24" customFormat="false" ht="15" hidden="false" customHeight="false" outlineLevel="0" collapsed="false">
      <c r="A24" s="4" t="s">
        <v>76</v>
      </c>
      <c r="B24" s="4" t="s">
        <v>72</v>
      </c>
      <c r="C24" s="4" t="s">
        <v>118</v>
      </c>
      <c r="D24" s="4" t="s">
        <v>51</v>
      </c>
      <c r="E24" s="4" t="s">
        <v>119</v>
      </c>
      <c r="F24" s="4" t="s">
        <v>70</v>
      </c>
    </row>
    <row r="25" customFormat="false" ht="15" hidden="false" customHeight="false" outlineLevel="0" collapsed="false">
      <c r="A25" s="4" t="s">
        <v>120</v>
      </c>
      <c r="B25" s="4" t="s">
        <v>87</v>
      </c>
      <c r="C25" s="4" t="s">
        <v>121</v>
      </c>
      <c r="D25" s="4" t="s">
        <v>68</v>
      </c>
      <c r="E25" s="4" t="s">
        <v>122</v>
      </c>
      <c r="F25" s="4" t="s">
        <v>70</v>
      </c>
    </row>
    <row r="26" customFormat="false" ht="15" hidden="false" customHeight="false" outlineLevel="0" collapsed="false">
      <c r="A26" s="4" t="s">
        <v>58</v>
      </c>
      <c r="B26" s="4" t="s">
        <v>115</v>
      </c>
      <c r="C26" s="4" t="s">
        <v>123</v>
      </c>
      <c r="D26" s="4" t="s">
        <v>104</v>
      </c>
      <c r="E26" s="4" t="s">
        <v>117</v>
      </c>
      <c r="F26" s="4" t="s">
        <v>47</v>
      </c>
    </row>
    <row r="27" customFormat="false" ht="15" hidden="false" customHeight="false" outlineLevel="0" collapsed="false">
      <c r="A27" s="4" t="s">
        <v>114</v>
      </c>
      <c r="B27" s="4" t="s">
        <v>124</v>
      </c>
      <c r="C27" s="4" t="s">
        <v>125</v>
      </c>
      <c r="D27" s="4" t="s">
        <v>82</v>
      </c>
      <c r="E27" s="4" t="s">
        <v>126</v>
      </c>
      <c r="F27" s="4" t="s">
        <v>70</v>
      </c>
    </row>
    <row r="28" customFormat="false" ht="15" hidden="false" customHeight="false" outlineLevel="0" collapsed="false">
      <c r="A28" s="4" t="s">
        <v>127</v>
      </c>
      <c r="B28" s="4" t="s">
        <v>71</v>
      </c>
      <c r="C28" s="4" t="s">
        <v>128</v>
      </c>
      <c r="D28" s="4" t="s">
        <v>104</v>
      </c>
      <c r="E28" s="4" t="s">
        <v>129</v>
      </c>
      <c r="F28" s="4" t="s">
        <v>70</v>
      </c>
    </row>
    <row r="29" customFormat="false" ht="15" hidden="false" customHeight="false" outlineLevel="0" collapsed="false">
      <c r="A29" s="4" t="s">
        <v>130</v>
      </c>
      <c r="B29" s="4" t="s">
        <v>72</v>
      </c>
      <c r="C29" s="4" t="s">
        <v>131</v>
      </c>
      <c r="D29" s="4" t="s">
        <v>45</v>
      </c>
      <c r="E29" s="4" t="s">
        <v>57</v>
      </c>
      <c r="F29" s="4" t="s">
        <v>70</v>
      </c>
    </row>
    <row r="30" customFormat="false" ht="15" hidden="false" customHeight="false" outlineLevel="0" collapsed="false">
      <c r="A30" s="4" t="s">
        <v>89</v>
      </c>
      <c r="B30" s="4" t="s">
        <v>132</v>
      </c>
      <c r="C30" s="4" t="s">
        <v>133</v>
      </c>
      <c r="D30" s="4" t="s">
        <v>45</v>
      </c>
      <c r="E30" s="4" t="s">
        <v>134</v>
      </c>
      <c r="F30" s="4" t="s">
        <v>47</v>
      </c>
    </row>
    <row r="31" customFormat="false" ht="15" hidden="false" customHeight="false" outlineLevel="0" collapsed="false">
      <c r="A31" s="4" t="s">
        <v>89</v>
      </c>
      <c r="B31" s="4" t="s">
        <v>135</v>
      </c>
      <c r="C31" s="4" t="s">
        <v>136</v>
      </c>
      <c r="D31" s="4" t="s">
        <v>78</v>
      </c>
      <c r="E31" s="4" t="s">
        <v>137</v>
      </c>
      <c r="F31" s="4" t="s">
        <v>70</v>
      </c>
    </row>
    <row r="32" customFormat="false" ht="15" hidden="false" customHeight="false" outlineLevel="0" collapsed="false">
      <c r="A32" s="4" t="s">
        <v>79</v>
      </c>
      <c r="B32" s="4" t="s">
        <v>138</v>
      </c>
      <c r="C32" s="4" t="s">
        <v>139</v>
      </c>
      <c r="D32" s="4" t="s">
        <v>45</v>
      </c>
      <c r="E32" s="4" t="s">
        <v>117</v>
      </c>
      <c r="F32" s="4" t="s">
        <v>70</v>
      </c>
    </row>
    <row r="33" customFormat="false" ht="15" hidden="false" customHeight="false" outlineLevel="0" collapsed="false">
      <c r="A33" s="4" t="s">
        <v>127</v>
      </c>
      <c r="B33" s="4" t="s">
        <v>54</v>
      </c>
      <c r="C33" s="4" t="s">
        <v>140</v>
      </c>
      <c r="D33" s="4" t="s">
        <v>82</v>
      </c>
      <c r="E33" s="4" t="s">
        <v>69</v>
      </c>
      <c r="F33" s="4" t="s">
        <v>47</v>
      </c>
    </row>
    <row r="34" customFormat="false" ht="15" hidden="false" customHeight="false" outlineLevel="0" collapsed="false">
      <c r="A34" s="4" t="s">
        <v>89</v>
      </c>
      <c r="B34" s="4" t="s">
        <v>43</v>
      </c>
      <c r="C34" s="4" t="s">
        <v>141</v>
      </c>
      <c r="D34" s="4" t="s">
        <v>45</v>
      </c>
      <c r="E34" s="4" t="s">
        <v>142</v>
      </c>
      <c r="F34" s="4" t="s">
        <v>70</v>
      </c>
    </row>
    <row r="35" customFormat="false" ht="15" hidden="false" customHeight="false" outlineLevel="0" collapsed="false">
      <c r="A35" s="4" t="s">
        <v>143</v>
      </c>
      <c r="B35" s="4" t="s">
        <v>66</v>
      </c>
      <c r="C35" s="4" t="s">
        <v>144</v>
      </c>
      <c r="D35" s="4" t="s">
        <v>104</v>
      </c>
      <c r="E35" s="4" t="s">
        <v>92</v>
      </c>
      <c r="F35" s="4" t="s">
        <v>70</v>
      </c>
    </row>
    <row r="36" customFormat="false" ht="15" hidden="false" customHeight="false" outlineLevel="0" collapsed="false">
      <c r="A36" s="4" t="s">
        <v>76</v>
      </c>
      <c r="B36" s="4" t="s">
        <v>49</v>
      </c>
      <c r="C36" s="4" t="s">
        <v>145</v>
      </c>
      <c r="D36" s="4" t="s">
        <v>82</v>
      </c>
      <c r="E36" s="4" t="s">
        <v>57</v>
      </c>
      <c r="F36" s="4" t="s">
        <v>70</v>
      </c>
    </row>
    <row r="37" customFormat="false" ht="15" hidden="false" customHeight="false" outlineLevel="0" collapsed="false">
      <c r="A37" s="4" t="s">
        <v>127</v>
      </c>
      <c r="B37" s="4" t="s">
        <v>132</v>
      </c>
      <c r="C37" s="4" t="s">
        <v>146</v>
      </c>
      <c r="D37" s="4" t="s">
        <v>51</v>
      </c>
      <c r="E37" s="4" t="s">
        <v>69</v>
      </c>
      <c r="F37" s="4" t="s">
        <v>70</v>
      </c>
    </row>
    <row r="38" customFormat="false" ht="15" hidden="false" customHeight="false" outlineLevel="0" collapsed="false">
      <c r="A38" s="4" t="s">
        <v>86</v>
      </c>
      <c r="B38" s="4" t="s">
        <v>54</v>
      </c>
      <c r="C38" s="4" t="s">
        <v>147</v>
      </c>
      <c r="D38" s="4" t="s">
        <v>56</v>
      </c>
      <c r="E38" s="4" t="s">
        <v>57</v>
      </c>
      <c r="F38" s="4" t="s">
        <v>47</v>
      </c>
    </row>
    <row r="39" customFormat="false" ht="15" hidden="false" customHeight="false" outlineLevel="0" collapsed="false">
      <c r="A39" s="4" t="s">
        <v>148</v>
      </c>
      <c r="B39" s="4" t="s">
        <v>66</v>
      </c>
      <c r="C39" s="4" t="s">
        <v>149</v>
      </c>
      <c r="D39" s="4" t="s">
        <v>56</v>
      </c>
      <c r="E39" s="4" t="s">
        <v>150</v>
      </c>
      <c r="F39" s="4" t="s">
        <v>70</v>
      </c>
    </row>
    <row r="40" customFormat="false" ht="15" hidden="false" customHeight="false" outlineLevel="0" collapsed="false">
      <c r="A40" s="4" t="s">
        <v>127</v>
      </c>
      <c r="B40" s="4" t="s">
        <v>90</v>
      </c>
      <c r="C40" s="4" t="s">
        <v>151</v>
      </c>
      <c r="D40" s="4" t="s">
        <v>78</v>
      </c>
      <c r="E40" s="4" t="s">
        <v>108</v>
      </c>
      <c r="F40" s="4" t="s">
        <v>47</v>
      </c>
    </row>
    <row r="41" customFormat="false" ht="15" hidden="false" customHeight="false" outlineLevel="0" collapsed="false">
      <c r="A41" s="4" t="s">
        <v>148</v>
      </c>
      <c r="B41" s="4" t="s">
        <v>87</v>
      </c>
      <c r="C41" s="4" t="s">
        <v>152</v>
      </c>
      <c r="D41" s="4" t="s">
        <v>51</v>
      </c>
      <c r="E41" s="4" t="s">
        <v>117</v>
      </c>
      <c r="F41" s="4" t="s">
        <v>47</v>
      </c>
    </row>
    <row r="42" customFormat="false" ht="15" hidden="false" customHeight="false" outlineLevel="0" collapsed="false">
      <c r="A42" s="4" t="s">
        <v>127</v>
      </c>
      <c r="B42" s="4" t="s">
        <v>124</v>
      </c>
      <c r="C42" s="4" t="s">
        <v>153</v>
      </c>
      <c r="D42" s="4" t="s">
        <v>78</v>
      </c>
      <c r="E42" s="4" t="s">
        <v>110</v>
      </c>
      <c r="F42" s="4" t="s">
        <v>47</v>
      </c>
    </row>
    <row r="43" customFormat="false" ht="15" hidden="false" customHeight="false" outlineLevel="0" collapsed="false">
      <c r="A43" s="4" t="s">
        <v>143</v>
      </c>
      <c r="B43" s="4" t="s">
        <v>154</v>
      </c>
      <c r="C43" s="4" t="s">
        <v>155</v>
      </c>
      <c r="D43" s="4" t="s">
        <v>104</v>
      </c>
      <c r="E43" s="4" t="s">
        <v>156</v>
      </c>
      <c r="F43" s="4" t="s">
        <v>70</v>
      </c>
    </row>
    <row r="44" customFormat="false" ht="15" hidden="false" customHeight="false" outlineLevel="0" collapsed="false">
      <c r="A44" s="4" t="s">
        <v>62</v>
      </c>
      <c r="B44" s="4" t="s">
        <v>138</v>
      </c>
      <c r="C44" s="4" t="s">
        <v>157</v>
      </c>
      <c r="D44" s="4" t="s">
        <v>82</v>
      </c>
      <c r="E44" s="4" t="s">
        <v>158</v>
      </c>
      <c r="F44" s="4" t="s">
        <v>47</v>
      </c>
    </row>
    <row r="45" customFormat="false" ht="15" hidden="false" customHeight="false" outlineLevel="0" collapsed="false">
      <c r="A45" s="4" t="s">
        <v>62</v>
      </c>
      <c r="B45" s="4" t="s">
        <v>159</v>
      </c>
      <c r="C45" s="4" t="s">
        <v>160</v>
      </c>
      <c r="D45" s="4" t="s">
        <v>74</v>
      </c>
      <c r="E45" s="4" t="s">
        <v>57</v>
      </c>
      <c r="F45" s="4" t="s">
        <v>47</v>
      </c>
    </row>
    <row r="46" customFormat="false" ht="15" hidden="false" customHeight="false" outlineLevel="0" collapsed="false">
      <c r="A46" s="4" t="s">
        <v>95</v>
      </c>
      <c r="B46" s="4" t="s">
        <v>87</v>
      </c>
      <c r="C46" s="4" t="s">
        <v>161</v>
      </c>
      <c r="D46" s="4" t="s">
        <v>74</v>
      </c>
      <c r="E46" s="4" t="s">
        <v>122</v>
      </c>
      <c r="F46" s="4" t="s">
        <v>47</v>
      </c>
    </row>
    <row r="47" customFormat="false" ht="15" hidden="false" customHeight="false" outlineLevel="0" collapsed="false">
      <c r="A47" s="4" t="s">
        <v>162</v>
      </c>
      <c r="B47" s="4" t="s">
        <v>71</v>
      </c>
      <c r="C47" s="4" t="s">
        <v>163</v>
      </c>
      <c r="D47" s="4" t="s">
        <v>45</v>
      </c>
      <c r="E47" s="4" t="s">
        <v>83</v>
      </c>
      <c r="F47" s="4" t="s">
        <v>47</v>
      </c>
    </row>
    <row r="48" customFormat="false" ht="15" hidden="false" customHeight="false" outlineLevel="0" collapsed="false">
      <c r="A48" s="4" t="s">
        <v>86</v>
      </c>
      <c r="B48" s="4" t="s">
        <v>164</v>
      </c>
      <c r="C48" s="4" t="s">
        <v>165</v>
      </c>
      <c r="D48" s="4" t="s">
        <v>82</v>
      </c>
      <c r="E48" s="4" t="s">
        <v>150</v>
      </c>
      <c r="F48" s="4" t="s">
        <v>70</v>
      </c>
    </row>
    <row r="49" customFormat="false" ht="15" hidden="false" customHeight="false" outlineLevel="0" collapsed="false">
      <c r="A49" s="4" t="s">
        <v>95</v>
      </c>
      <c r="B49" s="4" t="s">
        <v>43</v>
      </c>
      <c r="C49" s="4" t="s">
        <v>166</v>
      </c>
      <c r="D49" s="4" t="s">
        <v>104</v>
      </c>
      <c r="E49" s="4" t="s">
        <v>113</v>
      </c>
      <c r="F49" s="4" t="s">
        <v>47</v>
      </c>
    </row>
  </sheetData>
  <autoFilter ref="A1:F4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2026-10-30T00:23:48Z</dcterms:created>
  <dc:creator>openpyxl</dc:creator>
  <dc:description/>
  <dc:language>en-US</dc:language>
  <cp:lastModifiedBy/>
  <dcterms:modified xsi:type="dcterms:W3CDTF">2026-10-30T00:23:48Z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